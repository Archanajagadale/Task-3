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Sales 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<sst xmlns="http://schemas.openxmlformats.org/spreadsheetml/2006/main" count="48" uniqueCount="41">
  <si>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Emp ID</t>
  </si>
  <si>
    <t>Name</t>
  </si>
  <si>
    <t>Department</t>
  </si>
  <si>
    <t>Q1 Sales</t>
  </si>
  <si>
    <t>Q2 Sales</t>
  </si>
  <si>
    <t>Q3 Sales</t>
  </si>
  <si>
    <t>Q4 Sales</t>
  </si>
  <si>
    <t>Total Sales</t>
  </si>
  <si>
    <t>Bonus Tier</t>
  </si>
  <si>
    <t>Commission %</t>
  </si>
  <si>
    <t>Bonus Amount</t>
  </si>
  <si>
    <t>Q1</t>
  </si>
  <si>
    <t>Q2</t>
  </si>
  <si>
    <t>Q3</t>
  </si>
  <si>
    <t>Q4</t>
  </si>
  <si>
    <t>Q5</t>
  </si>
  <si>
    <t>Q6</t>
  </si>
  <si>
    <t>Q7</t>
  </si>
  <si>
    <t>E001</t>
  </si>
  <si>
    <t>Alice Johnson</t>
  </si>
  <si>
    <t>Sales</t>
  </si>
  <si>
    <t>E002</t>
  </si>
  <si>
    <t>Bob Smith</t>
  </si>
  <si>
    <t>E003</t>
  </si>
  <si>
    <t>Carol White</t>
  </si>
  <si>
    <t>Marketing</t>
  </si>
  <si>
    <t>E004</t>
  </si>
  <si>
    <t>David Brown</t>
  </si>
  <si>
    <t>E005</t>
  </si>
  <si>
    <t>Emma Davis</t>
  </si>
  <si>
    <t>Support</t>
  </si>
  <si>
    <t>E006</t>
  </si>
  <si>
    <t>Frank Wilson</t>
  </si>
  <si>
    <t>E007</t>
  </si>
  <si>
    <t>Grace Lee</t>
  </si>
  <si>
    <t>E008</t>
  </si>
  <si>
    <t>Henry Taylor</t>
  </si>
  <si>
    <t>E009</t>
  </si>
  <si>
    <t>Iris Martinez</t>
  </si>
  <si>
    <t>E010</t>
  </si>
  <si>
    <t>Jack Anderson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</si>
</sst>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$&quot;#,##0"/>
    <numFmt numFmtId="181" formatCode="0.0%"/>
  </numFmts>
  <fonts count="24">
    <font>
      <sz val="11"/>
      <color theme="1"/>
      <name val="Calibri"/>
      <charset val="1"/>
    </font>
    <font>
      <b/>
      <sz val="11"/>
      <color rgb="FFFFFFFF"/>
      <name val="Cambria"/>
      <charset val="1"/>
    </font>
    <font>
      <sz val="10"/>
      <color theme="1"/>
      <name val="Arial Unicode MS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80" fontId="0" fillId="0" borderId="0" xfId="0" applyNumberFormat="1"/>
    <xf numFmtId="181" fontId="0" fillId="0" borderId="0" xfId="0" applyNumberFormat="1"/>
    <xf numFmtId="0" fontId="0" fillId="0" borderId="0" xfId="0" applyNumberFormat="1"/>
    <xf numFmtId="0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numFmt numFmtId="180" formatCode="&quot;$&quot;#,##0"/>
    </dxf>
    <dxf>
      <numFmt numFmtId="180" formatCode="&quot;$&quot;#,##0"/>
    </dxf>
    <dxf>
      <numFmt numFmtId="180" formatCode="&quot;$&quot;#,##0"/>
    </dxf>
    <dxf>
      <numFmt numFmtId="180" formatCode="&quot;$&quot;#,##0"/>
    </dxf>
    <dxf>
      <numFmt numFmtId="180" formatCode="&quot;$&quot;#,##0"/>
    </dxf>
    <dxf>
      <numFmt numFmtId="181" formatCode="0.0%"/>
    </dxf>
    <dxf>
      <numFmt numFmtId="180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36609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R11" totalsRowShown="0">
  <autoFilter xmlns:etc="http://www.wps.cn/officeDocument/2017/etCustomData" ref="A1:R11" etc:filterBottomFollowUsedRange="0"/>
  <tableColumns count="18">
    <tableColumn id="1" name="Emp ID"/>
    <tableColumn id="2" name="Name"/>
    <tableColumn id="3" name="Department"/>
    <tableColumn id="4" name="Q1 Sales" dataDxfId="0"/>
    <tableColumn id="5" name="Q2 Sales" dataDxfId="1"/>
    <tableColumn id="6" name="Q3 Sales" dataDxfId="2"/>
    <tableColumn id="7" name="Q4 Sales" dataDxfId="3"/>
    <tableColumn id="8" name="Total Sales" dataDxfId="4">
      <calculatedColumnFormula>SUM(D2:G2)</calculatedColumnFormula>
    </tableColumn>
    <tableColumn id="9" name="Bonus Tier">
      <calculatedColumnFormula>IF(H2&gt;250000,"Gold",IF(H2&gt;=200000,"Silver",IF(H2&gt;=150000,"Bronze","Standard")))</calculatedColumnFormula>
    </tableColumn>
    <tableColumn id="10" name="Commission %" dataDxfId="5">
      <calculatedColumnFormula>IFERROR(IF(I2="Gold",0.1,IF(I2="Silver",0.08,IF(I2="Bronze",0.06,0.04))),0)</calculatedColumnFormula>
    </tableColumn>
    <tableColumn id="11" name="Bonus Amount" dataDxfId="6">
      <calculatedColumnFormula>IFERROR(H2*J2,0)</calculatedColumnFormula>
    </tableColumn>
    <tableColumn id="12" name="Q1" dataDxfId="7">
      <calculatedColumnFormula>IF(AND(B2="John",C2="sales"),"Specail review","Standard")</calculatedColumnFormula>
    </tableColumn>
    <tableColumn id="13" name="Q2" dataDxfId="8">
      <calculatedColumnFormula>IF(H2&gt;250000,"Excellent",IF(H2&gt;200000,"Good",IF(H2&gt;150000,"Avergae","Needs Improvement")))</calculatedColumnFormula>
    </tableColumn>
    <tableColumn id="14" name="Q3" dataDxfId="9">
      <calculatedColumnFormula>IF(AND(C2="Sales",H2&gt;50000),"High priorty","regular")</calculatedColumnFormula>
    </tableColumn>
    <tableColumn id="15" name="Q4" dataDxfId="10">
      <calculatedColumnFormula>IFERROR(D2/E2,"N/A")</calculatedColumnFormula>
    </tableColumn>
    <tableColumn id="16" name="Q5" dataDxfId="11">
      <calculatedColumnFormula>IF(OR(D2&gt;50000,E2&gt;50000),"Strong quarter","Moderate")</calculatedColumnFormula>
    </tableColumn>
    <tableColumn id="17" name="Q6" dataDxfId="12">
      <calculatedColumnFormula>IF(AND(J2&gt;0.08,H2&gt;200000,C2="Sales"),"Top performer","NA")</calculatedColumnFormula>
    </tableColumn>
    <tableColumn id="18" name="Q7" dataDxfId="13">
      <calculatedColumnFormula>IFERROR(AVERAGE(D2:G2),"Insufficinet value")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zoomScale="106" zoomScaleNormal="106" topLeftCell="C1" workbookViewId="0">
      <selection activeCell="F17" sqref="F17"/>
    </sheetView>
  </sheetViews>
  <sheetFormatPr defaultColWidth="8.67592592592593" defaultRowHeight="14.4"/>
  <cols>
    <col min="1" max="1" width="10" customWidth="1"/>
    <col min="2" max="2" width="15" customWidth="1"/>
    <col min="3" max="3" width="12" customWidth="1"/>
    <col min="4" max="4" width="12.8888888888889" customWidth="1"/>
    <col min="5" max="5" width="16.2222222222222" customWidth="1"/>
    <col min="6" max="6" width="15.6666666666667" customWidth="1"/>
    <col min="7" max="7" width="15.4444444444444" customWidth="1"/>
    <col min="8" max="8" width="18" customWidth="1"/>
    <col min="9" max="10" width="24.2222222222222" customWidth="1"/>
    <col min="11" max="11" width="12" customWidth="1"/>
    <col min="12" max="12" width="9.88888888888889" customWidth="1"/>
    <col min="13" max="13" width="19.2222222222222" customWidth="1"/>
    <col min="14" max="14" width="11.5555555555556" customWidth="1"/>
    <col min="15" max="15" width="12.8888888888889"/>
    <col min="17" max="17" width="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s="2">
        <v>45000</v>
      </c>
      <c r="E2" s="2">
        <v>52000</v>
      </c>
      <c r="F2" s="2">
        <v>48000</v>
      </c>
      <c r="G2" s="2">
        <v>55000</v>
      </c>
      <c r="H2" s="2">
        <f>SUM(D2:G2)</f>
        <v>200000</v>
      </c>
      <c r="I2" t="str">
        <f>IF(H2&gt;250000,"Gold",IF(H2&gt;=200000,"Silver",IF(H2&gt;=150000,"Bronze","Standard")))</f>
        <v>Silver</v>
      </c>
      <c r="J2" s="3">
        <f>IFERROR(IF(I2="Gold",0.1,IF(I2="Silver",0.08,IF(I2="Bronze",0.06,0.04))),0)</f>
        <v>0.08</v>
      </c>
      <c r="K2" s="2">
        <f>IFERROR(H2*J2,0)</f>
        <v>16000</v>
      </c>
      <c r="L2" s="4" t="str">
        <f>IF(AND(B2="John",C2="sales"),"Specail review","Standard")</f>
        <v>Standard</v>
      </c>
      <c r="M2" s="4" t="str">
        <f>IF(H2&gt;250000,"Excellent",IF(H2&gt;200000,"Good",IF(H2&gt;150000,"Avergae","Needs Improvement")))</f>
        <v>Avergae</v>
      </c>
      <c r="N2" s="4" t="str">
        <f>IF(AND(C2="Sales",H2&gt;50000),"High priorty","regular")</f>
        <v>High priorty</v>
      </c>
      <c r="O2" s="4">
        <f>IFERROR(D2/E2,"N/A")</f>
        <v>0.865384615384615</v>
      </c>
      <c r="P2" s="4" t="str">
        <f>IF(OR(D2&gt;50000,E2&gt;50000),"Strong quarter","Moderate")</f>
        <v>Strong quarter</v>
      </c>
      <c r="Q2" s="4" t="str">
        <f>IF(AND(J2&gt;0.08,H2&gt;200000,C2="Sales"),"Top performer","NA")</f>
        <v>NA</v>
      </c>
      <c r="R2" s="4">
        <f>IFERROR(AVERAGE(D2:G2),"Insufficinet value")</f>
        <v>50000</v>
      </c>
    </row>
    <row r="3" spans="1:18">
      <c r="A3" t="s">
        <v>21</v>
      </c>
      <c r="B3" t="s">
        <v>22</v>
      </c>
      <c r="C3" t="s">
        <v>20</v>
      </c>
      <c r="D3" s="2">
        <v>35000</v>
      </c>
      <c r="E3" s="2">
        <v>38000</v>
      </c>
      <c r="F3" s="2">
        <v>42000</v>
      </c>
      <c r="G3" s="2">
        <v>40000</v>
      </c>
      <c r="H3" s="2">
        <f>SUM(D3:G3)</f>
        <v>155000</v>
      </c>
      <c r="I3" t="str">
        <f>IF(H3&gt;250000,"Gold",IF(H3&gt;=200000,"Silver",IF(H3&gt;=150000,"Bronze","Standard")))</f>
        <v>Bronze</v>
      </c>
      <c r="J3" s="3">
        <f>IFERROR(IF(I3="Gold",0.1,IF(I3="Silver",0.08,IF(I3="Bronze",0.06,0.04))),0)</f>
        <v>0.06</v>
      </c>
      <c r="K3" s="2">
        <f>IFERROR(H3*J3,0)</f>
        <v>9300</v>
      </c>
      <c r="L3" s="4" t="str">
        <f>IF(AND(B3="John",C3="sales"),"Specail review","Standard")</f>
        <v>Standard</v>
      </c>
      <c r="M3" s="4" t="str">
        <f>IF(H3&gt;250000,"Excellent",IF(H3&gt;200000,"Good",IF(H3&gt;150000,"Avergae","Needs Improvement")))</f>
        <v>Avergae</v>
      </c>
      <c r="N3" s="4" t="str">
        <f>IF(AND(C3="Sales",H3&gt;50000),"High priorty","regular")</f>
        <v>High priorty</v>
      </c>
      <c r="O3" s="4">
        <f>IFERROR(D3/E3,"N/A")</f>
        <v>0.921052631578947</v>
      </c>
      <c r="P3" s="4" t="str">
        <f>IF(OR(D3&gt;50000,E3&gt;50000),"Strong quarter","Moderate")</f>
        <v>Moderate</v>
      </c>
      <c r="Q3" s="4" t="str">
        <f>IF(AND(J3&gt;0.08,H3&gt;200000,C3="Sales"),"Top performer","NA")</f>
        <v>NA</v>
      </c>
      <c r="R3" s="5">
        <f>IFERROR(AVERAGE(D3:G3),"Insufficinet value")</f>
        <v>38750</v>
      </c>
    </row>
    <row r="4" spans="1:18">
      <c r="A4" t="s">
        <v>23</v>
      </c>
      <c r="B4" t="s">
        <v>24</v>
      </c>
      <c r="C4" t="s">
        <v>25</v>
      </c>
      <c r="D4" s="2">
        <v>28000</v>
      </c>
      <c r="E4" s="2">
        <v>31000</v>
      </c>
      <c r="F4" s="2">
        <v>29000</v>
      </c>
      <c r="G4" s="2">
        <v>35000</v>
      </c>
      <c r="H4" s="2">
        <f>SUM(D4:G4)</f>
        <v>123000</v>
      </c>
      <c r="I4" t="str">
        <f>IF(H4&gt;250000,"Gold",IF(H4&gt;=200000,"Silver",IF(H4&gt;=150000,"Bronze","Standard")))</f>
        <v>Standard</v>
      </c>
      <c r="J4" s="3">
        <f>IFERROR(IF(I4="Gold",0.1,IF(I4="Silver",0.08,IF(I4="Bronze",0.06,0.04))),0)</f>
        <v>0.04</v>
      </c>
      <c r="K4" s="2">
        <f>IFERROR(H4*J4,0)</f>
        <v>4920</v>
      </c>
      <c r="L4" s="4" t="str">
        <f>IF(AND(B4="John",C4="sales"),"Specail review","Standard")</f>
        <v>Standard</v>
      </c>
      <c r="M4" s="4" t="str">
        <f>IF(H4&gt;250000,"Excellent",IF(H4&gt;200000,"Good",IF(H4&gt;150000,"Avergae","Needs Improvement")))</f>
        <v>Needs Improvement</v>
      </c>
      <c r="N4" s="4" t="str">
        <f>IF(AND(C4="Sales",H4&gt;50000),"High priorty","regular")</f>
        <v>regular</v>
      </c>
      <c r="O4" s="4">
        <f>IFERROR(D4/E4,"N/A")</f>
        <v>0.903225806451613</v>
      </c>
      <c r="P4" s="4" t="str">
        <f>IF(OR(D4&gt;50000,E4&gt;50000),"Strong quarter","Moderate")</f>
        <v>Moderate</v>
      </c>
      <c r="Q4" s="4" t="str">
        <f>IF(AND(J4&gt;0.08,H4&gt;200000,C4="Sales"),"Top performer","NA")</f>
        <v>NA</v>
      </c>
      <c r="R4" s="4">
        <f>IFERROR(AVERAGE(D4:G4),"Insufficinet value")</f>
        <v>30750</v>
      </c>
    </row>
    <row r="5" spans="1:18">
      <c r="A5" t="s">
        <v>26</v>
      </c>
      <c r="B5" t="s">
        <v>27</v>
      </c>
      <c r="C5" t="s">
        <v>20</v>
      </c>
      <c r="D5" s="2">
        <v>62000</v>
      </c>
      <c r="E5" s="2">
        <v>58000</v>
      </c>
      <c r="F5" s="2">
        <v>65000</v>
      </c>
      <c r="G5" s="2">
        <v>70000</v>
      </c>
      <c r="H5" s="2">
        <f>SUM(D5:G5)</f>
        <v>255000</v>
      </c>
      <c r="I5" t="str">
        <f>IF(H5&gt;250000,"Gold",IF(H5&gt;=200000,"Silver",IF(H5&gt;=150000,"Bronze","Standard")))</f>
        <v>Gold</v>
      </c>
      <c r="J5" s="3">
        <f>IFERROR(IF(I5="Gold",0.1,IF(I5="Silver",0.08,IF(I5="Bronze",0.06,0.04))),0)</f>
        <v>0.1</v>
      </c>
      <c r="K5" s="2">
        <f>IFERROR(H5*J5,0)</f>
        <v>25500</v>
      </c>
      <c r="L5" s="4" t="str">
        <f>IF(AND(B5="John",C5="sales"),"Specail review","Standard")</f>
        <v>Standard</v>
      </c>
      <c r="M5" s="4" t="str">
        <f>IF(H5&gt;250000,"Excellent",IF(H5&gt;200000,"Good",IF(H5&gt;150000,"Avergae","Needs Improvement")))</f>
        <v>Excellent</v>
      </c>
      <c r="N5" s="4" t="str">
        <f>IF(AND(C5="Sales",H5&gt;50000),"High priorty","regular")</f>
        <v>High priorty</v>
      </c>
      <c r="O5" s="4">
        <f>IFERROR(D5/E5,"N/A")</f>
        <v>1.06896551724138</v>
      </c>
      <c r="P5" s="4" t="str">
        <f>IF(OR(D5&gt;50000,E5&gt;50000),"Strong quarter","Moderate")</f>
        <v>Strong quarter</v>
      </c>
      <c r="Q5" s="4" t="str">
        <f>IF(AND(J5&gt;0.08,H5&gt;200000,C5="Sales"),"Top performer","NA")</f>
        <v>Top performer</v>
      </c>
      <c r="R5" s="4">
        <f>IFERROR(AVERAGE(D5:G5),"Insufficinet value")</f>
        <v>63750</v>
      </c>
    </row>
    <row r="6" spans="1:18">
      <c r="A6" t="s">
        <v>28</v>
      </c>
      <c r="B6" t="s">
        <v>29</v>
      </c>
      <c r="C6" t="s">
        <v>30</v>
      </c>
      <c r="D6" s="2">
        <v>22000</v>
      </c>
      <c r="E6" s="2">
        <v>24000</v>
      </c>
      <c r="F6" s="2">
        <v>26000</v>
      </c>
      <c r="G6" s="2">
        <v>28000</v>
      </c>
      <c r="H6" s="2">
        <f>SUM(D6:G6)</f>
        <v>100000</v>
      </c>
      <c r="I6" t="str">
        <f>IF(H6&gt;250000,"Gold",IF(H6&gt;=200000,"Silver",IF(H6&gt;=150000,"Bronze","Standard")))</f>
        <v>Standard</v>
      </c>
      <c r="J6" s="3">
        <f>IFERROR(IF(I6="Gold",0.1,IF(I6="Silver",0.08,IF(I6="Bronze",0.06,0.04))),0)</f>
        <v>0.04</v>
      </c>
      <c r="K6" s="2">
        <f>IFERROR(H6*J6,0)</f>
        <v>4000</v>
      </c>
      <c r="L6" s="4" t="str">
        <f>IF(AND(B6="John",C6="sales"),"Specail review","Standard")</f>
        <v>Standard</v>
      </c>
      <c r="M6" s="4" t="str">
        <f>IF(H6&gt;250000,"Excellent",IF(H6&gt;200000,"Good",IF(H6&gt;150000,"Avergae","Needs Improvement")))</f>
        <v>Needs Improvement</v>
      </c>
      <c r="N6" s="4" t="str">
        <f>IF(AND(C6="Sales",H6&gt;50000),"High priorty","regular")</f>
        <v>regular</v>
      </c>
      <c r="O6" s="4">
        <f>IFERROR(D6/E6,"N/A")</f>
        <v>0.916666666666667</v>
      </c>
      <c r="P6" s="4" t="str">
        <f>IF(OR(D6&gt;50000,E6&gt;50000),"Strong quarter","Moderate")</f>
        <v>Moderate</v>
      </c>
      <c r="Q6" s="4" t="str">
        <f>IF(AND(J6&gt;0.08,H6&gt;200000,C6="Sales"),"Top performer","NA")</f>
        <v>NA</v>
      </c>
      <c r="R6" s="4">
        <f>IFERROR(AVERAGE(D6:G6),"Insufficinet value")</f>
        <v>25000</v>
      </c>
    </row>
    <row r="7" spans="1:18">
      <c r="A7" t="s">
        <v>31</v>
      </c>
      <c r="B7" t="s">
        <v>32</v>
      </c>
      <c r="C7" t="s">
        <v>20</v>
      </c>
      <c r="D7" s="2">
        <v>48000</v>
      </c>
      <c r="E7" s="2">
        <v>51000</v>
      </c>
      <c r="F7" s="2">
        <v>53000</v>
      </c>
      <c r="G7" s="2">
        <v>56000</v>
      </c>
      <c r="H7" s="2">
        <f>SUM(D7:G7)</f>
        <v>208000</v>
      </c>
      <c r="I7" t="str">
        <f>IF(H7&gt;250000,"Gold",IF(H7&gt;=200000,"Silver",IF(H7&gt;=150000,"Bronze","Standard")))</f>
        <v>Silver</v>
      </c>
      <c r="J7" s="3">
        <f>IFERROR(IF(I7="Gold",0.1,IF(I7="Silver",0.08,IF(I7="Bronze",0.06,0.04))),0)</f>
        <v>0.08</v>
      </c>
      <c r="K7" s="2">
        <f>IFERROR(H7*J7,0)</f>
        <v>16640</v>
      </c>
      <c r="L7" s="4" t="str">
        <f>IF(AND(B7="John",C7="sales"),"Specail review","Standard")</f>
        <v>Standard</v>
      </c>
      <c r="M7" s="4" t="str">
        <f>IF(H7&gt;250000,"Excellent",IF(H7&gt;200000,"Good",IF(H7&gt;150000,"Avergae","Needs Improvement")))</f>
        <v>Good</v>
      </c>
      <c r="N7" s="4" t="str">
        <f>IF(AND(C7="Sales",H7&gt;50000),"High priorty","regular")</f>
        <v>High priorty</v>
      </c>
      <c r="O7" s="4">
        <f>IFERROR(D7/E7,"N/A")</f>
        <v>0.941176470588235</v>
      </c>
      <c r="P7" s="4" t="str">
        <f>IF(OR(D7&gt;50000,E7&gt;50000),"Strong quarter","Moderate")</f>
        <v>Strong quarter</v>
      </c>
      <c r="Q7" s="4" t="str">
        <f>IF(AND(J7&gt;0.08,H7&gt;200000,C7="Sales"),"Top performer","NA")</f>
        <v>NA</v>
      </c>
      <c r="R7" s="4">
        <f>IFERROR(AVERAGE(D7:G7),"Insufficinet value")</f>
        <v>52000</v>
      </c>
    </row>
    <row r="8" spans="1:18">
      <c r="A8" t="s">
        <v>33</v>
      </c>
      <c r="B8" t="s">
        <v>34</v>
      </c>
      <c r="C8" t="s">
        <v>25</v>
      </c>
      <c r="D8" s="2">
        <v>32000</v>
      </c>
      <c r="E8" s="2">
        <v>34000</v>
      </c>
      <c r="F8" s="2">
        <v>36000</v>
      </c>
      <c r="G8" s="2">
        <v>38000</v>
      </c>
      <c r="H8" s="2">
        <f>SUM(D8:G8)</f>
        <v>140000</v>
      </c>
      <c r="I8" t="str">
        <f>IF(H8&gt;250000,"Gold",IF(H8&gt;=200000,"Silver",IF(H8&gt;=150000,"Bronze","Standard")))</f>
        <v>Standard</v>
      </c>
      <c r="J8" s="3">
        <f>IFERROR(IF(I8="Gold",0.1,IF(I8="Silver",0.08,IF(I8="Bronze",0.06,0.04))),0)</f>
        <v>0.04</v>
      </c>
      <c r="K8" s="2">
        <f>IFERROR(H8*J8,0)</f>
        <v>5600</v>
      </c>
      <c r="L8" s="4" t="str">
        <f>IF(AND(B8="John",C8="sales"),"Specail review","Standard")</f>
        <v>Standard</v>
      </c>
      <c r="M8" s="4" t="str">
        <f>IF(H8&gt;250000,"Excellent",IF(H8&gt;200000,"Good",IF(H8&gt;150000,"Avergae","Needs Improvement")))</f>
        <v>Needs Improvement</v>
      </c>
      <c r="N8" s="4" t="str">
        <f>IF(AND(C8="Sales",H8&gt;50000),"High priorty","regular")</f>
        <v>regular</v>
      </c>
      <c r="O8" s="4">
        <f>IFERROR(D8/E8,"N/A")</f>
        <v>0.941176470588235</v>
      </c>
      <c r="P8" s="4" t="str">
        <f>IF(OR(D8&gt;50000,E8&gt;50000),"Strong quarter","Moderate")</f>
        <v>Moderate</v>
      </c>
      <c r="Q8" s="4" t="str">
        <f>IF(AND(J8&gt;0.08,H8&gt;200000,C8="Sales"),"Top performer","NA")</f>
        <v>NA</v>
      </c>
      <c r="R8" s="4">
        <f>IFERROR(AVERAGE(D8:G8),"Insufficinet value")</f>
        <v>35000</v>
      </c>
    </row>
    <row r="9" spans="1:18">
      <c r="A9" t="s">
        <v>35</v>
      </c>
      <c r="B9" t="s">
        <v>36</v>
      </c>
      <c r="C9" t="s">
        <v>20</v>
      </c>
      <c r="D9" s="2">
        <v>58000</v>
      </c>
      <c r="E9" s="2">
        <v>61000</v>
      </c>
      <c r="F9" s="2">
        <v>59000</v>
      </c>
      <c r="G9" s="2">
        <v>63000</v>
      </c>
      <c r="H9" s="2">
        <f>SUM(D9:G9)</f>
        <v>241000</v>
      </c>
      <c r="I9" t="str">
        <f>IF(H9&gt;250000,"Gold",IF(H9&gt;=200000,"Silver",IF(H9&gt;=150000,"Bronze","Standard")))</f>
        <v>Silver</v>
      </c>
      <c r="J9" s="3">
        <f>IFERROR(IF(I9="Gold",0.1,IF(I9="Silver",0.08,IF(I9="Bronze",0.06,0.04))),0)</f>
        <v>0.08</v>
      </c>
      <c r="K9" s="2">
        <f>IFERROR(H9*J9,0)</f>
        <v>19280</v>
      </c>
      <c r="L9" s="4" t="str">
        <f>IF(AND(B9="John",C9="sales"),"Specail review","Standard")</f>
        <v>Standard</v>
      </c>
      <c r="M9" s="4" t="str">
        <f>IF(H9&gt;250000,"Excellent",IF(H9&gt;200000,"Good",IF(H9&gt;150000,"Avergae","Needs Improvement")))</f>
        <v>Good</v>
      </c>
      <c r="N9" s="4" t="str">
        <f>IF(AND(C9="Sales",H9&gt;50000),"High priorty","regular")</f>
        <v>High priorty</v>
      </c>
      <c r="O9" s="4">
        <f>IFERROR(D9/E9,"N/A")</f>
        <v>0.950819672131147</v>
      </c>
      <c r="P9" s="4" t="str">
        <f>IF(OR(D9&gt;50000,E9&gt;50000),"Strong quarter","Moderate")</f>
        <v>Strong quarter</v>
      </c>
      <c r="Q9" s="4" t="str">
        <f>IF(AND(J9&gt;0.08,H9&gt;200000,C9="Sales"),"Top performer","NA")</f>
        <v>NA</v>
      </c>
      <c r="R9" s="4">
        <f>IFERROR(AVERAGE(D9:G9),"Insufficinet value")</f>
        <v>60250</v>
      </c>
    </row>
    <row r="10" spans="1:18">
      <c r="A10" t="s">
        <v>37</v>
      </c>
      <c r="B10" t="s">
        <v>38</v>
      </c>
      <c r="C10" t="s">
        <v>30</v>
      </c>
      <c r="D10" s="2">
        <v>20000</v>
      </c>
      <c r="E10" s="2">
        <v>21000</v>
      </c>
      <c r="F10" s="2">
        <v>22000</v>
      </c>
      <c r="G10" s="2">
        <v>23000</v>
      </c>
      <c r="H10" s="2">
        <f>SUM(D10:G10)</f>
        <v>86000</v>
      </c>
      <c r="I10" t="str">
        <f>IF(H10&gt;250000,"Gold",IF(H10&gt;=200000,"Silver",IF(H10&gt;=150000,"Bronze","Standard")))</f>
        <v>Standard</v>
      </c>
      <c r="J10" s="3">
        <f>IFERROR(IF(I10="Gold",0.1,IF(I10="Silver",0.08,IF(I10="Bronze",0.06,0.04))),0)</f>
        <v>0.04</v>
      </c>
      <c r="K10" s="2">
        <f>IFERROR(H10*J10,0)</f>
        <v>3440</v>
      </c>
      <c r="L10" s="4" t="str">
        <f>IF(AND(B10="John",C10="sales"),"Specail review","Standard")</f>
        <v>Standard</v>
      </c>
      <c r="M10" s="4" t="str">
        <f>IF(H10&gt;250000,"Excellent",IF(H10&gt;200000,"Good",IF(H10&gt;150000,"Avergae","Needs Improvement")))</f>
        <v>Needs Improvement</v>
      </c>
      <c r="N10" s="4" t="str">
        <f>IF(AND(C10="Sales",H10&gt;50000),"High priorty","regular")</f>
        <v>regular</v>
      </c>
      <c r="O10" s="4">
        <f>IFERROR(D10/E10,"N/A")</f>
        <v>0.952380952380952</v>
      </c>
      <c r="P10" s="4" t="str">
        <f>IF(OR(D10&gt;50000,E10&gt;50000),"Strong quarter","Moderate")</f>
        <v>Moderate</v>
      </c>
      <c r="Q10" s="4" t="str">
        <f>IF(AND(J10&gt;0.08,H10&gt;200000,C10="Sales"),"Top performer","NA")</f>
        <v>NA</v>
      </c>
      <c r="R10" s="4">
        <f>IFERROR(AVERAGE(D10:G10),"Insufficinet value")</f>
        <v>21500</v>
      </c>
    </row>
    <row r="11" spans="1:18">
      <c r="A11" t="s">
        <v>39</v>
      </c>
      <c r="B11" t="s">
        <v>40</v>
      </c>
      <c r="C11" t="s">
        <v>20</v>
      </c>
      <c r="D11" s="2">
        <v>55000</v>
      </c>
      <c r="E11" s="2">
        <v>54000</v>
      </c>
      <c r="F11" s="2">
        <v>57000</v>
      </c>
      <c r="G11" s="2">
        <v>60000</v>
      </c>
      <c r="H11" s="2">
        <f>SUM(D11:G11)</f>
        <v>226000</v>
      </c>
      <c r="I11" t="str">
        <f>IF(H11&gt;250000,"Gold",IF(H11&gt;=200000,"Silver",IF(H11&gt;=150000,"Bronze","Standard")))</f>
        <v>Silver</v>
      </c>
      <c r="J11" s="3">
        <f>IFERROR(IF(I11="Gold",0.1,IF(I11="Silver",0.08,IF(I11="Bronze",0.06,0.04))),0)</f>
        <v>0.08</v>
      </c>
      <c r="K11" s="2">
        <f>IFERROR(H11*J11,0)</f>
        <v>18080</v>
      </c>
      <c r="L11" s="4" t="str">
        <f>IF(AND(B11="John",C11="sales"),"Specail review","Standard")</f>
        <v>Standard</v>
      </c>
      <c r="M11" s="4" t="str">
        <f>IF(H11&gt;250000,"Excellent",IF(H11&gt;200000,"Good",IF(H11&gt;150000,"Avergae","Needs Improvement")))</f>
        <v>Good</v>
      </c>
      <c r="N11" s="4" t="str">
        <f>IF(AND(C11="Sales",H11&gt;50000),"High priorty","regular")</f>
        <v>High priorty</v>
      </c>
      <c r="O11" s="4">
        <f>IFERROR(D11/E11,"N/A")</f>
        <v>1.01851851851852</v>
      </c>
      <c r="P11" s="4" t="str">
        <f>IF(OR(D11&gt;50000,E11&gt;50000),"Strong quarter","Moderate")</f>
        <v>Strong quarter</v>
      </c>
      <c r="Q11" s="4" t="str">
        <f>IF(AND(J11&gt;0.08,H11&gt;200000,C11="Sales"),"Top performer","NA")</f>
        <v>NA</v>
      </c>
      <c r="R11" s="4">
        <f>IFERROR(AVERAGE(D11:G11),"Insufficinet value")</f>
        <v>56500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4" sqref="I14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Archana Jagadale</cp:lastModifiedBy>
  <cp:revision>0</cp:revision>
  <dcterms:created xsi:type="dcterms:W3CDTF">2026-09-22T07:02:00Z</dcterms:created>
  <dcterms:modified xsi:type="dcterms:W3CDTF">2026-09-22T11:55:45Z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E5D221ED9B0841949328C0DA01188A9D_13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